
<file path=[Content_Types].xml><?xml version="1.0" encoding="utf-8"?>
<Types xmlns="http://schemas.openxmlformats.org/package/2006/content-types">
  <Default Extension="jpeg" ContentType="image/jpeg"/>
  <Default Extension="png" ContentType="image/png"/>
  <Default Extension="xml" ContentType="application/xml"/>
  <Default Extension="wmf" ContentType="image/x-wmf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2"/>
    <sheet name="Лист2" sheetId="2" state="visible" r:id="rId3"/>
    <sheet name="Лист3" sheetId="3" state="visible" r:id="rId4"/>
  </sheets>
  <calcPr/>
</workbook>
</file>

<file path=xl/sharedStrings.xml><?xml version="1.0" encoding="utf-8"?>
<sst xmlns="http://schemas.openxmlformats.org/spreadsheetml/2006/main" count="24" uniqueCount="24">
  <si>
    <t xml:space="preserve">Критерии сложности/объемности сделок</t>
  </si>
  <si>
    <t xml:space="preserve">ФИО сотрудника</t>
  </si>
  <si>
    <t xml:space="preserve">Наименование критерия сложнноструктурированных/"объемных" сделок</t>
  </si>
  <si>
    <t xml:space="preserve">Вес </t>
  </si>
  <si>
    <t xml:space="preserve">Количество </t>
  </si>
  <si>
    <t xml:space="preserve">Описание/ комментарии по сделке, номера запросов</t>
  </si>
  <si>
    <t xml:space="preserve">Итого за критерий</t>
  </si>
  <si>
    <t xml:space="preserve">Анализ концессионного проекта на соответствие федеральному и региональному законодательству, требованиям основных условий финансирования КС/ вопросы, связанные с исполнением КС.</t>
  </si>
  <si>
    <r>
      <t xml:space="preserve">Анализ сделки </t>
    </r>
    <r>
      <rPr>
        <b/>
        <sz val="11"/>
        <rFont val="Times New Roman"/>
      </rPr>
      <t xml:space="preserve">о реструктуризации</t>
    </r>
    <r>
      <rPr>
        <sz val="11"/>
        <rFont val="Times New Roman"/>
      </rPr>
      <t xml:space="preserve"> в рамках урегулирования проблемной задолженности/ заключение новой сделки с клиентом, находящимся в красной/черной зоне проблемности в целях урегулирования проблемной задолженности.
(вес критерия от 3-7, определяется по объему выполненной работы, объем предоставляется руководителю на верификацию
</t>
    </r>
  </si>
  <si>
    <t>ПЗ-ХХХХХХХХХ</t>
  </si>
  <si>
    <r>
      <t xml:space="preserve">Анализ инструментов </t>
    </r>
    <r>
      <rPr>
        <b/>
        <sz val="11"/>
        <color theme="1"/>
        <rFont val="Times New Roman"/>
      </rPr>
      <t xml:space="preserve">корпоративного контроля</t>
    </r>
    <r>
      <rPr>
        <sz val="11"/>
        <color theme="1"/>
        <rFont val="Times New Roman"/>
      </rPr>
      <t xml:space="preserve">/механизма участия Банка в органах управления заемщика (не в соответствии с перечнем ключевых вопросов, утвержденных ВНД Банка), либо сделки с инструментами корпоративного контроля, содержащей опционы.</t>
    </r>
  </si>
  <si>
    <r>
      <t xml:space="preserve">Анализ последствий введения </t>
    </r>
    <r>
      <rPr>
        <b/>
        <sz val="11"/>
        <color theme="1"/>
        <rFont val="Times New Roman"/>
      </rPr>
      <t xml:space="preserve">процедуры банкротства </t>
    </r>
    <r>
      <rPr>
        <sz val="11"/>
        <color theme="1"/>
        <rFont val="Times New Roman"/>
      </rPr>
      <t xml:space="preserve">в отношении контрагента Банка – участника сделки.
</t>
    </r>
  </si>
  <si>
    <r>
      <t xml:space="preserve">Анализ относящихся к сделке претензий третьих лиц/</t>
    </r>
    <r>
      <rPr>
        <b/>
        <sz val="11"/>
        <color theme="1"/>
        <rFont val="Times New Roman"/>
      </rPr>
      <t xml:space="preserve">корпоративного конфликта</t>
    </r>
    <r>
      <rPr>
        <sz val="11"/>
        <color theme="1"/>
        <rFont val="Times New Roman"/>
      </rPr>
      <t xml:space="preserve">/ сведений об уголовном преследовании бенефициаров/членов органов управления/привлечения к субсидиарной ответственности.
</t>
    </r>
  </si>
  <si>
    <r>
      <t xml:space="preserve">Анализ </t>
    </r>
    <r>
      <rPr>
        <b/>
        <sz val="11"/>
        <color theme="1"/>
        <rFont val="Times New Roman"/>
      </rPr>
      <t xml:space="preserve">иностранного элемента </t>
    </r>
    <r>
      <rPr>
        <sz val="11"/>
        <color theme="1"/>
        <rFont val="Times New Roman"/>
      </rPr>
      <t xml:space="preserve">в сделке (контрагент Банка – нерезидент, финансируемый/гарантируемый контракт/сделка с Банком подчиняется иностранному праву).</t>
    </r>
  </si>
  <si>
    <r>
      <t xml:space="preserve">Анализ сделки/цепочки сделок владения прав на доли/акции/недвижимое имущество продавца/покупателя и т.п.), в которых  присутствует иностранный элемент, и сделка  прямо или косвенно подпадает под </t>
    </r>
    <r>
      <rPr>
        <b/>
        <sz val="11"/>
        <color theme="1"/>
        <rFont val="Times New Roman"/>
      </rPr>
      <t xml:space="preserve">регулирование Указов Президента РФ</t>
    </r>
    <r>
      <rPr>
        <sz val="11"/>
        <color theme="1"/>
        <rFont val="Times New Roman"/>
      </rPr>
      <t xml:space="preserve"> по недружественным странам.</t>
    </r>
  </si>
  <si>
    <r>
      <t xml:space="preserve">Сделки по </t>
    </r>
    <r>
      <rPr>
        <b/>
        <sz val="11"/>
        <color theme="1"/>
        <rFont val="Times New Roman"/>
      </rPr>
      <t xml:space="preserve">переводу долга</t>
    </r>
    <r>
      <rPr>
        <sz val="11"/>
        <color theme="1"/>
        <rFont val="Times New Roman"/>
      </rPr>
      <t xml:space="preserve">, замене застройщика, включение в структуру сделки нового застройщика.</t>
    </r>
  </si>
  <si>
    <r>
      <t xml:space="preserve">Анализ </t>
    </r>
    <r>
      <rPr>
        <b/>
        <sz val="11"/>
        <color theme="1"/>
        <rFont val="Times New Roman"/>
      </rPr>
      <t xml:space="preserve">прав на земельный участок</t>
    </r>
    <r>
      <rPr>
        <sz val="11"/>
        <color theme="1"/>
        <rFont val="Times New Roman"/>
      </rPr>
      <t xml:space="preserve"> по строительному проекту в случае, если объект будет строиться на земельном участке, права аренды/собственности на который приобретаются/приобретены из государственной, мунципальной собственности, либо земельный участок приобретен посредством цепочки сделок начиная с приватизации.</t>
    </r>
  </si>
  <si>
    <t xml:space="preserve">ПЗ-ХХХХХХХХХ, ПЗ-ХХХХХХХХХ, ПЗ-ХХХХХХХХХ, ПЗ-ХХХХХХХХХ</t>
  </si>
  <si>
    <r>
      <t xml:space="preserve">Анализ сделки по кредитованию </t>
    </r>
    <r>
      <rPr>
        <sz val="11"/>
        <color theme="1"/>
        <rFont val="Times New Roman"/>
      </rPr>
      <t xml:space="preserve">на цели приобретения проблемных активов</t>
    </r>
    <r>
      <rPr>
        <sz val="11"/>
        <color theme="1"/>
        <rFont val="Times New Roman"/>
      </rPr>
      <t xml:space="preserve"> (имущество в рамках действующей/планируемой процедуры банкротства; права требования по просроченным долгам/кредитам; доля в уставном капитале проблемного актива), </t>
    </r>
    <r>
      <rPr>
        <b/>
        <sz val="11"/>
        <color theme="1"/>
        <rFont val="Times New Roman"/>
      </rPr>
      <t xml:space="preserve">сделки «с нестандартным риском»</t>
    </r>
    <r>
      <rPr>
        <sz val="11"/>
        <color theme="1"/>
        <rFont val="Times New Roman"/>
      </rPr>
      <t xml:space="preserve"> (Решение КПКИ ЦА от 24.02.2022 № 1381 §5а «Об утверждении условий финансирования сложноструктурированных и высокодоходных сделок для девелоперов жилья»).
</t>
    </r>
  </si>
  <si>
    <t xml:space="preserve">Анализ сделки с инструментами, рисками, по которым отсутствует практика работы, что влечет подготовку запросов в ПД, обсуждение схем с лидерами процесса, формулирование новых рисков (нешаблонизированных).</t>
  </si>
  <si>
    <t xml:space="preserve">Анализ регионального законодательства в сделке (например, для заключение ДКРТ, по вопросам СЭ).                                                                                                      </t>
  </si>
  <si>
    <t xml:space="preserve">Подготовка заключений в связи с исками прокуратуры о национализации активов клиента.</t>
  </si>
  <si>
    <t xml:space="preserve">Согласование объемного ПРКО (100+ страниц, составляющих основную часть, Приложения 2 и 3).</t>
  </si>
  <si>
    <r>
      <t xml:space="preserve">Участие в </t>
    </r>
    <r>
      <rPr>
        <b/>
        <sz val="11"/>
        <color theme="1"/>
        <rFont val="Times New Roman"/>
      </rPr>
      <t xml:space="preserve">проектной деятельности правового департамента</t>
    </r>
    <r>
      <rPr>
        <sz val="11"/>
        <color theme="1"/>
        <rFont val="Times New Roman"/>
      </rPr>
      <t xml:space="preserve">, методологической работе, направленной на усовершенствование процессов и  нормативных документов Банка (без исключения из ОО)
</t>
    </r>
    <r>
      <rPr>
        <b/>
        <i/>
        <sz val="11"/>
        <color theme="1"/>
        <rFont val="Times New Roman"/>
      </rPr>
      <t xml:space="preserve">(вес критерия от 3-7, определяется по объему выполненной работы, объем предоставляется руководителю на верификацию)</t>
    </r>
    <r>
      <rPr>
        <sz val="11"/>
        <color theme="1"/>
        <rFont val="Times New Roman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</si>
</sst>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2.000000"/>
      <color theme="1"/>
      <name val="Times New Roman"/>
    </font>
    <font>
      <b/>
      <sz val="18.000000"/>
      <color theme="1"/>
      <name val="Times New Roman"/>
    </font>
    <font>
      <b/>
      <sz val="11.000000"/>
      <color theme="1"/>
      <name val="Times New Roman"/>
    </font>
    <font>
      <sz val="11.000000"/>
      <color theme="1"/>
      <name val="Times New Roman"/>
    </font>
    <font>
      <sz val="11.000000"/>
      <name val="Times New Roman"/>
    </font>
    <font>
      <sz val="12.000000"/>
      <color indexed="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</patternFill>
    </fill>
    <fill>
      <patternFill patternType="solid">
        <fgColor theme="9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</fills>
  <borders count="23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1" fillId="0" borderId="0" numFmtId="0" xfId="0" applyFont="1"/>
    <xf fontId="2" fillId="2" borderId="1" numFmtId="0" xfId="0" applyFont="1" applyFill="1" applyBorder="1"/>
    <xf fontId="3" fillId="3" borderId="2" numFmtId="0" xfId="0" applyFont="1" applyFill="1" applyBorder="1"/>
    <xf fontId="2" fillId="4" borderId="2" numFmtId="0" xfId="0" applyFont="1" applyFill="1" applyBorder="1" applyAlignment="1">
      <alignment horizontal="center" vertical="center" wrapText="1"/>
    </xf>
    <xf fontId="2" fillId="4" borderId="3" numFmtId="0" xfId="0" applyFont="1" applyFill="1" applyBorder="1" applyAlignment="1">
      <alignment horizontal="center" vertical="center" wrapText="1"/>
    </xf>
    <xf fontId="2" fillId="4" borderId="4" numFmtId="0" xfId="0" applyFont="1" applyFill="1" applyBorder="1" applyAlignment="1">
      <alignment horizontal="center" vertical="center" wrapText="1"/>
    </xf>
    <xf fontId="2" fillId="4" borderId="5" numFmtId="0" xfId="0" applyFont="1" applyFill="1" applyBorder="1" applyAlignment="1">
      <alignment horizontal="center" vertical="center" wrapText="1"/>
    </xf>
    <xf fontId="2" fillId="4" borderId="6" numFmtId="0" xfId="0" applyFont="1" applyFill="1" applyBorder="1" applyAlignment="1">
      <alignment horizontal="center" vertical="center" wrapText="1"/>
    </xf>
    <xf fontId="0" fillId="0" borderId="7" numFmtId="0" xfId="0" applyBorder="1" applyAlignment="1">
      <alignment horizontal="center" vertical="center"/>
    </xf>
    <xf fontId="3" fillId="0" borderId="8" numFmtId="0" xfId="0" applyFont="1" applyBorder="1" applyAlignment="1">
      <alignment vertical="center" wrapText="1"/>
    </xf>
    <xf fontId="2" fillId="4" borderId="9" numFmtId="0" xfId="0" applyFont="1" applyFill="1" applyBorder="1" applyAlignment="1">
      <alignment horizontal="center" vertical="center" wrapText="1"/>
    </xf>
    <xf fontId="3" fillId="0" borderId="10" numFmtId="0" xfId="0" applyFont="1" applyBorder="1" applyAlignment="1">
      <alignment horizontal="center" vertical="center"/>
    </xf>
    <xf fontId="3" fillId="0" borderId="10" numFmtId="0" xfId="0" applyFont="1" applyBorder="1" applyAlignment="1">
      <alignment horizontal="center" vertical="center" wrapText="1"/>
    </xf>
    <xf fontId="3" fillId="5" borderId="11" numFmtId="0" xfId="0" applyFont="1" applyFill="1" applyBorder="1" applyAlignment="1">
      <alignment horizontal="center" vertical="center"/>
    </xf>
    <xf fontId="4" fillId="0" borderId="12" numFmtId="0" xfId="0" applyFont="1" applyBorder="1" applyAlignment="1">
      <alignment vertical="center" wrapText="1"/>
    </xf>
    <xf fontId="4" fillId="0" borderId="10" numFmtId="0" xfId="0" applyFont="1" applyBorder="1" applyAlignment="1">
      <alignment horizontal="center" vertical="center" wrapText="1"/>
    </xf>
    <xf fontId="3" fillId="0" borderId="12" numFmtId="0" xfId="0" applyFont="1" applyBorder="1" applyAlignment="1">
      <alignment vertical="center" wrapText="1"/>
    </xf>
    <xf fontId="5" fillId="0" borderId="0" numFmtId="0" xfId="0" applyFont="1"/>
    <xf fontId="2" fillId="4" borderId="9" numFmtId="0" xfId="0" applyFont="1" applyFill="1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4" fillId="0" borderId="14" numFmtId="0" xfId="0" applyFont="1" applyBorder="1" applyAlignment="1">
      <alignment vertical="center" wrapText="1"/>
    </xf>
    <xf fontId="2" fillId="4" borderId="15" numFmtId="0" xfId="0" applyFont="1" applyFill="1" applyBorder="1" applyAlignment="1">
      <alignment horizontal="center" vertical="center"/>
    </xf>
    <xf fontId="3" fillId="0" borderId="16" numFmtId="0" xfId="0" applyFont="1" applyBorder="1" applyAlignment="1">
      <alignment horizontal="center" vertical="center"/>
    </xf>
    <xf fontId="3" fillId="5" borderId="17" numFmtId="0" xfId="0" applyFont="1" applyFill="1" applyBorder="1" applyAlignment="1">
      <alignment horizontal="center" vertical="center"/>
    </xf>
    <xf fontId="0" fillId="0" borderId="18" numFmtId="0" xfId="0" applyBorder="1" applyAlignment="1">
      <alignment horizontal="center" vertical="center"/>
    </xf>
    <xf fontId="3" fillId="0" borderId="19" numFmtId="0" xfId="0" applyFont="1" applyBorder="1" applyAlignment="1">
      <alignment vertical="center" wrapText="1"/>
    </xf>
    <xf fontId="2" fillId="4" borderId="20" numFmtId="0" xfId="0" applyFont="1" applyFill="1" applyBorder="1" applyAlignment="1">
      <alignment horizontal="center" vertical="center"/>
    </xf>
    <xf fontId="3" fillId="0" borderId="21" numFmtId="0" xfId="0" applyFont="1" applyBorder="1" applyAlignment="1">
      <alignment horizontal="center" vertical="center"/>
    </xf>
    <xf fontId="3" fillId="5" borderId="22" numFmt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haredStrings" Target="sharedStrings.xml"/><Relationship  Id="rId1" Type="http://schemas.openxmlformats.org/officeDocument/2006/relationships/customXml" Target="../customXml/item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7" Type="http://schemas.openxmlformats.org/officeDocument/2006/relationships/styles" Target="styles.xml"/><Relationship  Id="rId5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4" zoomScale="100" workbookViewId="0">
      <selection activeCell="E14" activeCellId="0" sqref="E14"/>
    </sheetView>
  </sheetViews>
  <sheetFormatPr defaultRowHeight="15"/>
  <cols>
    <col customWidth="1" min="2" max="2" width="70.75"/>
    <col customWidth="1" min="5" max="5" width="33.5"/>
  </cols>
  <sheetData>
    <row r="1" ht="16.5"/>
    <row r="2" ht="21.75">
      <c r="B2" s="1" t="s">
        <v>0</v>
      </c>
      <c r="E2" s="2" t="s">
        <v>1</v>
      </c>
      <c r="F2" s="3">
        <f>SUM(F5:F19)</f>
        <v>17</v>
      </c>
    </row>
    <row r="3" ht="16.5"/>
    <row r="4" ht="28.5">
      <c r="A4" s="4"/>
      <c r="B4" s="4" t="s">
        <v>2</v>
      </c>
      <c r="C4" s="5" t="s">
        <v>3</v>
      </c>
      <c r="D4" s="6" t="s">
        <v>4</v>
      </c>
      <c r="E4" s="7" t="s">
        <v>5</v>
      </c>
      <c r="F4" s="8" t="s">
        <v>6</v>
      </c>
    </row>
    <row r="5" ht="51.75" customHeight="1">
      <c r="A5" s="9">
        <v>1</v>
      </c>
      <c r="B5" s="10" t="s">
        <v>7</v>
      </c>
      <c r="C5" s="11">
        <v>7</v>
      </c>
      <c r="D5" s="12"/>
      <c r="E5" s="13"/>
      <c r="F5" s="14">
        <f t="shared" ref="F5:F19" si="0">C5*D5</f>
        <v>0</v>
      </c>
    </row>
    <row r="6" ht="89.25" customHeight="1">
      <c r="A6" s="9">
        <v>2</v>
      </c>
      <c r="B6" s="15" t="s">
        <v>8</v>
      </c>
      <c r="C6" s="11">
        <v>5</v>
      </c>
      <c r="D6" s="12">
        <v>1</v>
      </c>
      <c r="E6" s="16" t="s">
        <v>9</v>
      </c>
      <c r="F6" s="14">
        <f t="shared" si="0"/>
        <v>5</v>
      </c>
    </row>
    <row r="7" ht="65.25" customHeight="1">
      <c r="A7" s="9">
        <v>3</v>
      </c>
      <c r="B7" s="17" t="s">
        <v>10</v>
      </c>
      <c r="C7" s="11">
        <v>5</v>
      </c>
      <c r="D7" s="12"/>
      <c r="E7" s="16"/>
      <c r="F7" s="14">
        <f t="shared" si="0"/>
        <v>0</v>
      </c>
    </row>
    <row r="8" ht="41.25" customHeight="1">
      <c r="A8" s="9">
        <v>4</v>
      </c>
      <c r="B8" s="17" t="s">
        <v>11</v>
      </c>
      <c r="C8" s="11">
        <v>4</v>
      </c>
      <c r="D8" s="12"/>
      <c r="E8" s="16"/>
      <c r="F8" s="14">
        <f t="shared" si="0"/>
        <v>0</v>
      </c>
    </row>
    <row r="9" ht="57">
      <c r="A9" s="9">
        <v>5</v>
      </c>
      <c r="B9" s="17" t="s">
        <v>12</v>
      </c>
      <c r="C9" s="11">
        <v>3</v>
      </c>
      <c r="D9" s="12"/>
      <c r="E9" s="16"/>
      <c r="F9" s="14">
        <f t="shared" si="0"/>
        <v>0</v>
      </c>
      <c r="G9" s="18"/>
    </row>
    <row r="10" ht="54" customHeight="1">
      <c r="A10" s="9">
        <v>6</v>
      </c>
      <c r="B10" s="17" t="s">
        <v>13</v>
      </c>
      <c r="C10" s="11">
        <v>2</v>
      </c>
      <c r="D10" s="12"/>
      <c r="E10" s="16"/>
      <c r="F10" s="14">
        <f t="shared" si="0"/>
        <v>0</v>
      </c>
    </row>
    <row r="11" ht="79.5" customHeight="1">
      <c r="A11" s="9">
        <v>7</v>
      </c>
      <c r="B11" s="17" t="s">
        <v>14</v>
      </c>
      <c r="C11" s="11">
        <v>4</v>
      </c>
      <c r="D11" s="12"/>
      <c r="E11" s="16"/>
      <c r="F11" s="14">
        <f t="shared" si="0"/>
        <v>0</v>
      </c>
    </row>
    <row r="12" ht="36.75" customHeight="1">
      <c r="A12" s="9">
        <v>8</v>
      </c>
      <c r="B12" s="17" t="s">
        <v>15</v>
      </c>
      <c r="C12" s="11">
        <v>5</v>
      </c>
      <c r="D12" s="12"/>
      <c r="E12" s="16"/>
      <c r="F12" s="14">
        <f t="shared" si="0"/>
        <v>0</v>
      </c>
    </row>
    <row r="13" ht="70.5" customHeight="1">
      <c r="A13" s="9">
        <v>9</v>
      </c>
      <c r="B13" s="17" t="s">
        <v>16</v>
      </c>
      <c r="C13" s="11">
        <v>3</v>
      </c>
      <c r="D13" s="12">
        <v>4</v>
      </c>
      <c r="E13" s="16" t="s">
        <v>17</v>
      </c>
      <c r="F13" s="14">
        <f t="shared" si="0"/>
        <v>12</v>
      </c>
      <c r="G13" s="18"/>
    </row>
    <row r="14" ht="99.75">
      <c r="A14" s="9">
        <v>10</v>
      </c>
      <c r="B14" s="17" t="s">
        <v>18</v>
      </c>
      <c r="C14" s="11">
        <v>7</v>
      </c>
      <c r="D14" s="12"/>
      <c r="E14" s="13"/>
      <c r="F14" s="14">
        <f t="shared" si="0"/>
        <v>0</v>
      </c>
    </row>
    <row r="15" ht="56.25" customHeight="1">
      <c r="A15" s="9">
        <v>11</v>
      </c>
      <c r="B15" s="17" t="s">
        <v>19</v>
      </c>
      <c r="C15" s="11">
        <v>7</v>
      </c>
      <c r="D15" s="12"/>
      <c r="E15" s="13"/>
      <c r="F15" s="14">
        <f t="shared" si="0"/>
        <v>0</v>
      </c>
    </row>
    <row r="16" ht="42.75" customHeight="1">
      <c r="A16" s="9">
        <v>12</v>
      </c>
      <c r="B16" s="15" t="s">
        <v>20</v>
      </c>
      <c r="C16" s="19">
        <v>4</v>
      </c>
      <c r="D16" s="12"/>
      <c r="E16" s="13"/>
      <c r="F16" s="14">
        <f t="shared" si="0"/>
        <v>0</v>
      </c>
    </row>
    <row r="17" ht="28.5">
      <c r="A17" s="20">
        <v>13</v>
      </c>
      <c r="B17" s="21" t="s">
        <v>21</v>
      </c>
      <c r="C17" s="22">
        <v>5</v>
      </c>
      <c r="D17" s="23"/>
      <c r="E17" s="13"/>
      <c r="F17" s="14">
        <f t="shared" si="0"/>
        <v>0</v>
      </c>
    </row>
    <row r="18" ht="28.5">
      <c r="A18" s="20">
        <v>14</v>
      </c>
      <c r="B18" s="21" t="s">
        <v>22</v>
      </c>
      <c r="C18" s="22">
        <v>4</v>
      </c>
      <c r="D18" s="23"/>
      <c r="E18" s="13"/>
      <c r="F18" s="24">
        <f t="shared" si="0"/>
        <v>0</v>
      </c>
    </row>
    <row r="19" ht="85.5">
      <c r="A19" s="25">
        <v>15</v>
      </c>
      <c r="B19" s="26" t="s">
        <v>23</v>
      </c>
      <c r="C19" s="27"/>
      <c r="D19" s="28"/>
      <c r="E19" s="13"/>
      <c r="F19" s="29">
        <f t="shared" si="0"/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5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<?xml version="1.0" encoding="utf-8"?>
<custom-storage xmlns="urn:custom-storage:WorkbookPersistentGUID">61fe91f8-38bd-4158-8c5f-ea96df77d83c</custom-storage>
</file>

<file path=customXml/itemProps1.xml><?xml version="1.0" encoding="utf-8"?>
<ds:datastoreItem xmlns:ds="http://schemas.openxmlformats.org/officeDocument/2006/customXml" ds:itemID="{55C74ADB-315B-4BB4-81D7-6CFC51D2A13E}">
  <ds:schemaRefs>
    <ds:schemaRef ds:uri="urn:custom-storage:WorkbookPersistent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Р7-Офис/2026.2.1.2288</Application>
  <Company>ПАО Сбербанк России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Парадеева Оксана Борисовна</dc:creator>
  <cp:lastModifiedBy>02624792@omega.sbrf.ru</cp:lastModifiedBy>
  <cp:revision>3</cp:revision>
  <dcterms:created xsi:type="dcterms:W3CDTF">2025-03-03T05:25:58Z</dcterms:created>
  <dcterms:modified xsi:type="dcterms:W3CDTF">2026-08-10T05:29:14Z</dcterms:modified>
</cp:coreProperties>
</file>